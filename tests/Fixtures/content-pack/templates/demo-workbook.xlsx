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workbookProtection lockRevision="false" lockStructure="true" lockWindows="false" workbookPassword="CA26"/>
  <bookViews>
    <workbookView activeTab="0" autoFilterDateGrouping="true" firstSheet="0" minimized="false" showHorizontalScroll="true" showSheetTabs="true" showVerticalScroll="true" tabRatio="600" visibility="visible"/>
  </bookViews>
  <sheets>
    <sheet name="Introduction" sheetId="1" r:id="rId4"/>
    <sheet name="Scoping" sheetId="2" r:id="rId5"/>
    <sheet name="Inventory" sheetId="3" r:id="rId6"/>
    <sheet name="Interfaces" sheetId="4" r:id="rId7"/>
    <sheet name="Mapping" sheetId="5" r:id="rId8"/>
    <sheet name="Walks" sheetId="6" r:id="rId9"/>
    <sheet name="Risk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<sst xmlns="http://schemas.openxmlformats.org/spreadsheetml/2006/main" uniqueCount="34">
  <si>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Demo workbook (test fixture)</t>
  </si>
  <si>
    <t>Author:</t>
  </si>
  <si>
    <t>[name of the author]</t>
  </si>
  <si>
    <t>Product:</t>
  </si>
  <si>
    <t>[name of the product]</t>
  </si>
  <si>
    <t>Date:</t>
  </si>
  <si>
    <t>[date of completion]</t>
  </si>
  <si>
    <t>Description</t>
  </si>
  <si>
    <t>Question</t>
  </si>
  <si>
    <t>Answer</t>
  </si>
  <si>
    <t>Connected</t>
  </si>
  <si>
    <t>Updates</t>
  </si>
  <si>
    <t>Asset</t>
  </si>
  <si>
    <t>Type</t>
  </si>
  <si>
    <t>Stored</t>
  </si>
  <si>
    <t>Check</t>
  </si>
  <si>
    <t>Interface</t>
  </si>
  <si>
    <t>Kind</t>
  </si>
  <si>
    <t>Mark x where an asset is accessible via an interface</t>
  </si>
  <si>
    <t>E.Info.DT.ACC-1</t>
  </si>
  <si>
    <t>Verdict</t>
  </si>
  <si>
    <t>E.Just</t>
  </si>
  <si>
    <t>E.Info text</t>
  </si>
  <si>
    <t>Items</t>
  </si>
  <si>
    <t>Threat</t>
  </si>
  <si>
    <t>S</t>
  </si>
  <si>
    <t>T</t>
  </si>
  <si>
    <t>Impact</t>
  </si>
  <si>
    <t>Likelihood</t>
  </si>
  <si>
    <t>Score</t>
  </si>
  <si>
    <t>Remediation</t>
  </si>
  <si>
    <t>Example: Ransomware</t>
  </si>
  <si>
    <t>x</t>
  </si>
  <si>
    <t>Signed updates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</si>
</sst>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id="1" name="Table1" displayName="DemoAssets" ref="A1:E6" headerRowCount="1" totalsRowCount="0">
  <autoFilter ref="A1:E6"/>
  <tableColumns count="5">
    <tableColumn id="1" name="Asset"/>
    <tableColumn id="2" name="Type"/>
    <tableColumn id="3" name="Stored"/>
    <tableColumn id="4" name="Description"/>
    <tableColumn id="5" name="Check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 t="s">
        <v>4</v>
      </c>
    </row>
    <row r="4" spans="1:3">
      <c r="A4" t="s">
        <v>5</v>
      </c>
      <c r="B4" t="s">
        <v>6</v>
      </c>
      <c r="C4" t="str">
        <f>IF(ISNUMBER(B4), TEXT(B4, "YYYY-MM-DD"), "")</f>
        <v/>
      </c>
    </row>
    <row r="5" spans="1:3">
      <c r="A5" t="s">
        <v>7</v>
      </c>
    </row>
  </sheetData>
  <sheetProtection algorithmName="SHA-512" hashValue="frbAS0VMf3nbFIRqY24BWzzqFukZmNhRY8oTt37qRGWRBD32I37sslz5xdZGJ1A+ejK1oP9CTML6oelTl+ExRw==" saltValue="Fl8uPYyzMrytqYqc4t1IpA==" spinCount="1000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8</v>
      </c>
      <c r="B1" t="s">
        <v>9</v>
      </c>
      <c r="C1" t="e">
        <f>IF(OR(B2, B3), "In scope", "Out of scope")</f>
        <v>#VALUE!</v>
      </c>
    </row>
    <row r="2" spans="1:3">
      <c r="A2" t="s">
        <v>10</v>
      </c>
    </row>
    <row r="3" spans="1:3">
      <c r="A3" t="s">
        <v>11</v>
      </c>
    </row>
  </sheetData>
  <sheetProtection algorithmName="SHA-512" hashValue="aeYAxoj+qokadGoAq47ozFKGTo54p9pWVpNRlUZpwRDQMR8zKyPf4z429Upl3hUgerMM0zoGjqcO1aEUrw/8ZA==" saltValue="+uUhdbg2x3y0Yh0ynBl20Q==" spinCount="1000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12</v>
      </c>
      <c r="B1" t="s">
        <v>13</v>
      </c>
      <c r="C1" t="s">
        <v>14</v>
      </c>
      <c r="D1" t="s">
        <v>7</v>
      </c>
      <c r="E1" t="s">
        <v>15</v>
      </c>
    </row>
    <row r="2" spans="1:5">
      <c r="E2" t="str">
        <f>IF(A2="", "", A2&amp;" ("&amp;B2&amp;")")</f>
        <v/>
      </c>
    </row>
    <row r="3" spans="1:5">
      <c r="E3" t="str">
        <f>IF(A3="", "", A3&amp;" ("&amp;B3&amp;")")</f>
        <v/>
      </c>
    </row>
    <row r="4" spans="1:5">
      <c r="E4" t="str">
        <f>IF(A4="", "", A4&amp;" ("&amp;B4&amp;")")</f>
        <v/>
      </c>
    </row>
    <row r="5" spans="1:5">
      <c r="E5" t="str">
        <f>IF(A5="", "", A5&amp;" ("&amp;B5&amp;")")</f>
        <v/>
      </c>
    </row>
    <row r="6" spans="1:5">
      <c r="E6" t="str">
        <f>IF(A6="", "", A6&amp;" ("&amp;B6&amp;")")</f>
        <v/>
      </c>
    </row>
  </sheetData>
  <sheetProtection algorithmName="SHA-512" hashValue="BYR+sgeu6rOa/o6fG5/mCXgtIQOXE8Sz34nxy071nzN37Ai7htzm0EcLNrmuBZzrhY5WztPKDgqYeY6VLIu17g==" saltValue="Z+WEYh0fXDsYgyOdwAe30g==" spinCount="1000" sheet="1"/>
  <dataValidations count="5">
    <dataValidation type="list" errorStyle="stop" operator="between" allowBlank="1" showDropDown="0" showInputMessage="0" showErrorMessage="0" sqref="B2">
      <formula1>"Security,Data"</formula1>
    </dataValidation>
    <dataValidation type="list" errorStyle="stop" operator="between" allowBlank="1" showDropDown="0" showInputMessage="0" showErrorMessage="0" sqref="B3">
      <formula1>"Security,Data"</formula1>
    </dataValidation>
    <dataValidation type="list" errorStyle="stop" operator="between" allowBlank="1" showDropDown="0" showInputMessage="0" showErrorMessage="0" sqref="B4">
      <formula1>"Security,Data"</formula1>
    </dataValidation>
    <dataValidation type="list" errorStyle="stop" operator="between" allowBlank="1" showDropDown="0" showInputMessage="0" showErrorMessage="0" sqref="B5">
      <formula1>"Security,Data"</formula1>
    </dataValidation>
    <dataValidation type="list" errorStyle="stop" operator="between" allowBlank="1" showDropDown="0" showInputMessage="0" showErrorMessage="0" sqref="B6">
      <formula1>"Security,Data"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16</v>
      </c>
      <c r="B1" t="s">
        <v>17</v>
      </c>
    </row>
  </sheetData>
  <sheetProtection algorithmName="SHA-512" hashValue="LTzc4F2NGDD7DE1CT+8atx/0tOkHp2fRj3XPFwpNPQQJL2rBW+TVa4uolUZFshj8cDP6Fu1PFmloK4BOpKeG+Q==" saltValue="Zn3wcSP8SSrMpSxZhDYLlA==" spinCount="1000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18</v>
      </c>
      <c r="B1" t="str">
        <f>IF(Interfaces!A2="", "", Interfaces!A2)</f>
        <v/>
      </c>
      <c r="C1" t="str">
        <f>IF(Interfaces!A3="", "", Interfaces!A3)</f>
        <v/>
      </c>
      <c r="D1" t="str">
        <f>IF(Interfaces!A4="", "", Interfaces!A4)</f>
        <v/>
      </c>
    </row>
    <row r="2" spans="1:4">
      <c r="A2" t="str">
        <f>IF(Inventory!A2="", "", Inventory!A2)</f>
        <v/>
      </c>
    </row>
    <row r="3" spans="1:4">
      <c r="A3" t="str">
        <f>IF(Inventory!A3="", "", Inventory!A3)</f>
        <v/>
      </c>
    </row>
    <row r="4" spans="1:4">
      <c r="A4" t="str">
        <f>IF(Inventory!A4="", "", Inventory!A4)</f>
        <v/>
      </c>
    </row>
    <row r="5" spans="1:4">
      <c r="A5" t="str">
        <f>IF(Inventory!A5="", "", Inventory!A5)</f>
        <v/>
      </c>
    </row>
    <row r="6" spans="1:4">
      <c r="A6" t="str">
        <f>IF(Inventory!A6="", "", Inventory!A6)</f>
        <v/>
      </c>
    </row>
  </sheetData>
  <sheetProtection algorithmName="SHA-512" hashValue="vwKVI5FEKq8Sun8xilSIigwFr5xDbuzET1s5SzK0ig7ynZIjk4dbVXKGr8hUnC/rIU5SoS1MqEhlvgnj05HX3A==" saltValue="3LMLWgyW78PuVrqzV82EKA==" spinCount="1000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12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>
      <c r="A2" t="str">
        <f>IF(Inventory!A2="", "", Inventory!A2)</f>
        <v/>
      </c>
      <c r="F2" t="str">
        <f>IF(B2="DT.ACC-1.DN-9", "E.Info.ACC-1.Asset", "")</f>
        <v/>
      </c>
    </row>
    <row r="3" spans="1:6">
      <c r="A3" t="str">
        <f>IF(Inventory!A3="", "", Inventory!A3)</f>
        <v/>
      </c>
      <c r="F3" t="str">
        <f>IF(B3="DT.ACC-1.DN-9", "E.Info.ACC-1.Asset", "")</f>
        <v/>
      </c>
    </row>
    <row r="4" spans="1:6">
      <c r="A4" t="str">
        <f>IF(Inventory!A4="", "", Inventory!A4)</f>
        <v/>
      </c>
      <c r="F4" t="str">
        <f>IF(B4="DT.ACC-1.DN-9", "E.Info.ACC-1.Asset", "")</f>
        <v/>
      </c>
    </row>
    <row r="5" spans="1:6">
      <c r="A5" t="str">
        <f>IF(Inventory!A5="", "", Inventory!A5)</f>
        <v/>
      </c>
      <c r="F5" t="str">
        <f>IF(B5="DT.ACC-1.DN-9", "E.Info.ACC-1.Asset", "")</f>
        <v/>
      </c>
    </row>
    <row r="6" spans="1:6">
      <c r="A6" t="str">
        <f>IF(Inventory!A6="", "", Inventory!A6)</f>
        <v/>
      </c>
      <c r="F6" t="str">
        <f>IF(B6="DT.ACC-1.DN-9", "E.Info.ACC-1.Asset", "")</f>
        <v/>
      </c>
    </row>
  </sheetData>
  <sheetProtection algorithmName="SHA-512" hashValue="oZ2FME5/BROz8GwFsqTa1jxzNKCO7EzkP2q86d3EgDMDwGPg8AQj8XNwJKnLIkrPyfZLs7BU+5fUaFLeDXhMAg==" saltValue="obtF03/UtUr53vqOZ7BbfQ==" spinCount="1000" sheet="1"/>
  <dataValidations count="1">
    <dataValidation type="list" errorStyle="stop" operator="between" allowBlank="0" showDropDown="0" showInputMessage="0" showErrorMessage="0" sqref="B2:B6">
      <formula1>"N/A,DT.ACC-1.DN-1,DT.ACC-1.DN-3"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t="s">
        <v>31</v>
      </c>
      <c r="B2" t="s">
        <v>32</v>
      </c>
      <c r="D2">
        <v>5</v>
      </c>
      <c r="E2">
        <v>3</v>
      </c>
      <c r="F2">
        <f>IF(OR(D2="", E2=""), "", D2*E2)</f>
        <v>15</v>
      </c>
      <c r="G2" t="s">
        <v>33</v>
      </c>
    </row>
    <row r="3" spans="1:7">
      <c r="F3" t="str">
        <f>IF(OR(D3="", E3=""), "", D3*E3)</f>
        <v/>
      </c>
    </row>
    <row r="4" spans="1:7">
      <c r="F4" t="str">
        <f>IF(OR(D4="", E4=""), "", D4*E4)</f>
        <v/>
      </c>
    </row>
  </sheetData>
  <sheetProtection algorithmName="SHA-512" hashValue="tbg3sJHGTpWijYUcXSzAEUeJoRSQzlwn8sKFiy5TofQYB708CraosfmjG9Hq75HZtvrXEJHFkmmC1h0CultXdw==" saltValue="Kw2+oX3FlfwxLxGUCUKrfA==" spinCount="1000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Scoping</vt:lpstr>
      <vt:lpstr>Inventory</vt:lpstr>
      <vt:lpstr>Interfaces</vt:lpstr>
      <vt:lpstr>Mapping</vt:lpstr>
      <vt:lpstr>Walks</vt:lpstr>
      <vt:lpstr>Risks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2026-10-23T07:36:45+02:00</dcterms:created>
  <dcterms:modified xsi:type="dcterms:W3CDTF">2026-10-23T07:36:45+02:00</dcterms:modified>
  <dc:title>Untitled Spreadsheet</dc:title>
  <dc:description/>
  <dc:subject/>
  <cp:keywords/>
  <cp:category/>
</cp:coreProperties>
</file>